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1.0.0</t>
        </is>
      </c>
    </row>
    <row r="2">
      <c r="A2" t="inlineStr">
        <is>
          <t>title</t>
        </is>
      </c>
      <c r="B2" t="inlineStr">
        <is>
          <t>V2 (Revised)</t>
        </is>
      </c>
    </row>
    <row r="3">
      <c r="A3" t="inlineStr">
        <is>
          <t>model</t>
        </is>
      </c>
      <c r="B3" t="inlineStr">
        <is>
          <t>fcf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</cols>
  <sheetData>
    <row r="1">
      <c r="A1" s="1" t="inlineStr">
        <is>
          <t>Bridgework — V2 (Revised) Drivers</t>
        </is>
      </c>
    </row>
    <row r="3">
      <c r="A3" s="2" t="inlineStr">
        <is>
          <t>Driver</t>
        </is>
      </c>
      <c r="B3" s="2" t="inlineStr">
        <is>
          <t>Value</t>
        </is>
      </c>
      <c r="C3" s="2" t="inlineStr">
        <is>
          <t>Label</t>
        </is>
      </c>
    </row>
    <row r="4">
      <c r="A4" t="inlineStr">
        <is>
          <t>revenue_prior</t>
        </is>
      </c>
      <c r="B4" s="3" t="n">
        <v>67060</v>
      </c>
      <c r="C4" t="inlineStr">
        <is>
          <t>Revenue (prior year, $M)</t>
        </is>
      </c>
    </row>
    <row r="5">
      <c r="A5" t="inlineStr">
        <is>
          <t>revenue_growth</t>
        </is>
      </c>
      <c r="B5" s="3" t="n">
        <v>0.015</v>
      </c>
      <c r="C5" t="inlineStr">
        <is>
          <t>Revenue growth (%)</t>
        </is>
      </c>
    </row>
    <row r="6">
      <c r="A6" t="inlineStr">
        <is>
          <t>cogs_pct</t>
        </is>
      </c>
      <c r="B6" s="3" t="n">
        <v>0.638</v>
      </c>
      <c r="C6" t="inlineStr">
        <is>
          <t>COGS (% of revenue)</t>
        </is>
      </c>
    </row>
    <row r="7">
      <c r="A7" t="inlineStr">
        <is>
          <t>opex_pct</t>
        </is>
      </c>
      <c r="B7" s="3" t="n">
        <v>0.178</v>
      </c>
      <c r="C7" t="inlineStr">
        <is>
          <t>Opex (% of revenue)</t>
        </is>
      </c>
    </row>
    <row r="8">
      <c r="A8" t="inlineStr">
        <is>
          <t>tax_rate</t>
        </is>
      </c>
      <c r="B8" s="3" t="n">
        <v>0.225</v>
      </c>
      <c r="C8" t="inlineStr">
        <is>
          <t>Effective tax rate (%)</t>
        </is>
      </c>
    </row>
    <row r="9">
      <c r="A9" t="inlineStr">
        <is>
          <t>nwc_pct</t>
        </is>
      </c>
      <c r="B9" s="3" t="n">
        <v>0.08</v>
      </c>
      <c r="C9" t="inlineStr">
        <is>
          <t>NWC intensity (% of revenue)</t>
        </is>
      </c>
    </row>
    <row r="10">
      <c r="A10" t="inlineStr">
        <is>
          <t>capex_pct</t>
        </is>
      </c>
      <c r="B10" s="3" t="n">
        <v>0.062</v>
      </c>
      <c r="C10" t="inlineStr">
        <is>
          <t>CapEx (% of revenue)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</cols>
  <sheetData>
    <row r="1">
      <c r="A1" s="1" t="inlineStr">
        <is>
          <t>Bridgework — V2 (Revised) FCF Calculation</t>
        </is>
      </c>
    </row>
    <row r="3">
      <c r="A3" s="2" t="inlineStr">
        <is>
          <t>Line item</t>
        </is>
      </c>
      <c r="B3" s="2" t="inlineStr">
        <is>
          <t>Value ($M)</t>
        </is>
      </c>
      <c r="C3" s="2" t="inlineStr">
        <is>
          <t>Formula note</t>
        </is>
      </c>
    </row>
    <row r="4">
      <c r="A4" t="inlineStr">
        <is>
          <t>Revenue (prior)</t>
        </is>
      </c>
      <c r="B4">
        <f>Drivers!$B$4</f>
        <v/>
      </c>
      <c r="C4" t="inlineStr">
        <is>
          <t>Anchor: prior-period revenue</t>
        </is>
      </c>
    </row>
    <row r="5">
      <c r="A5" t="inlineStr">
        <is>
          <t>Revenue</t>
        </is>
      </c>
      <c r="B5">
        <f>B4*(1+Drivers!$B$5)</f>
        <v/>
      </c>
      <c r="C5" t="inlineStr">
        <is>
          <t>prior * (1 + growth)</t>
        </is>
      </c>
    </row>
    <row r="6">
      <c r="A6" t="inlineStr">
        <is>
          <t>Gross Profit</t>
        </is>
      </c>
      <c r="B6">
        <f>B5*(1-Drivers!$B$6)</f>
        <v/>
      </c>
      <c r="C6" t="inlineStr">
        <is>
          <t>Revenue * (1 - COGS%)</t>
        </is>
      </c>
    </row>
    <row r="7">
      <c r="A7" t="inlineStr">
        <is>
          <t>Opex</t>
        </is>
      </c>
      <c r="B7">
        <f>B5*Drivers!$B$7</f>
        <v/>
      </c>
      <c r="C7" t="inlineStr">
        <is>
          <t>Revenue * Opex%</t>
        </is>
      </c>
    </row>
    <row r="8">
      <c r="A8" t="inlineStr">
        <is>
          <t>EBIT</t>
        </is>
      </c>
      <c r="B8">
        <f>B6-B7</f>
        <v/>
      </c>
      <c r="C8" t="inlineStr">
        <is>
          <t>Gross Profit - Opex</t>
        </is>
      </c>
    </row>
    <row r="9">
      <c r="A9" t="inlineStr">
        <is>
          <t>Taxes</t>
        </is>
      </c>
      <c r="B9">
        <f>MAX(B8,0)*Drivers!$B$8</f>
        <v/>
      </c>
      <c r="C9" t="inlineStr">
        <is>
          <t>max(EBIT,0) * tax rate</t>
        </is>
      </c>
    </row>
    <row r="10">
      <c r="A10" t="inlineStr">
        <is>
          <t>NOPAT</t>
        </is>
      </c>
      <c r="B10">
        <f>B8-B9</f>
        <v/>
      </c>
      <c r="C10" t="inlineStr">
        <is>
          <t>EBIT - Taxes</t>
        </is>
      </c>
    </row>
    <row r="11">
      <c r="A11" t="inlineStr">
        <is>
          <t>Delta NWC</t>
        </is>
      </c>
      <c r="B11">
        <f>B5*Drivers!$B$9-B4*Drivers!$B$9</f>
        <v/>
      </c>
      <c r="C11" t="inlineStr">
        <is>
          <t>(Rev - PriorRev) * NWC%</t>
        </is>
      </c>
    </row>
    <row r="12">
      <c r="A12" t="inlineStr">
        <is>
          <t>CapEx</t>
        </is>
      </c>
      <c r="B12">
        <f>B5*Drivers!$B$10</f>
        <v/>
      </c>
      <c r="C12" t="inlineStr">
        <is>
          <t>Revenue * CapEx%</t>
        </is>
      </c>
    </row>
    <row r="13">
      <c r="A13" s="4" t="inlineStr">
        <is>
          <t>Free Cash Flow</t>
        </is>
      </c>
      <c r="B13" s="4">
        <f>B10-B11-B12</f>
        <v/>
      </c>
      <c r="C13" t="inlineStr">
        <is>
          <t>NOPAT - dNWC - CapEx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2026-08-28T15:31:26Z</dcterms:created>
  <dcterms:modified xmlns:dcterms="http://purl.org/dc/terms/" xmlns:xsi="http://www.w3.org/2001/XMLSchema-instance" xsi:type="dcterms:W3CDTF">2026-08-28T15:31:26Z</dcterms:modified>
</cp:coreProperties>
</file>