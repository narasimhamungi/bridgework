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" sheetId="1" state="visible" r:id="rId3"/>
    <sheet name="Drivers" sheetId="2" state="visible" r:id="rId4"/>
    <sheet name="Calc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<sst xmlns="http://schemas.openxmlformats.org/spreadsheetml/2006/main" count="48" uniqueCount="48">
  <si>
    <t xml:space="preserve">schema_version</t>
  </si>
  <si>
    <t xml:space="preserve">1.0.0</t>
  </si>
  <si>
    <t xml:space="preserve">title</t>
  </si>
  <si>
    <t xml:space="preserve">V1 (Baseline)</t>
  </si>
  <si>
    <t xml:space="preserve">model</t>
  </si>
  <si>
    <t xml:space="preserve">fcf</t>
  </si>
  <si>
    <t xml:space="preserve">Bridgework — V1 (Baseline) Drivers</t>
  </si>
  <si>
    <t xml:space="preserve">Driver</t>
  </si>
  <si>
    <t xml:space="preserve">Value</t>
  </si>
  <si>
    <t xml:space="preserve">Label</t>
  </si>
  <si>
    <t xml:space="preserve">revenue_prior</t>
  </si>
  <si>
    <t xml:space="preserve">Revenue (prior year, $M)</t>
  </si>
  <si>
    <t xml:space="preserve">revenue_growth</t>
  </si>
  <si>
    <t xml:space="preserve">Revenue growth (%)</t>
  </si>
  <si>
    <t xml:space="preserve">cogs_pct</t>
  </si>
  <si>
    <t xml:space="preserve">COGS (% of revenue)</t>
  </si>
  <si>
    <t xml:space="preserve">opex_pct</t>
  </si>
  <si>
    <t xml:space="preserve">Opex (% of revenue)</t>
  </si>
  <si>
    <t xml:space="preserve">tax_rate</t>
  </si>
  <si>
    <t xml:space="preserve">Effective tax rate (%)</t>
  </si>
  <si>
    <t xml:space="preserve">nwc_pct</t>
  </si>
  <si>
    <t xml:space="preserve">NWC intensity (% of revenue)</t>
  </si>
  <si>
    <t xml:space="preserve">capex_pct</t>
  </si>
  <si>
    <t xml:space="preserve">CapEx (% of revenue)</t>
  </si>
  <si>
    <t xml:space="preserve">Bridgework — V1 (Baseline) FCF Calculation</t>
  </si>
  <si>
    <t xml:space="preserve">Line item</t>
  </si>
  <si>
    <t xml:space="preserve">Value ($M)</t>
  </si>
  <si>
    <t xml:space="preserve">Formula note</t>
  </si>
  <si>
    <t xml:space="preserve">Revenue (prior)</t>
  </si>
  <si>
    <t xml:space="preserve">Anchor: prior-period revenue</t>
  </si>
  <si>
    <t xml:space="preserve">Revenue</t>
  </si>
  <si>
    <t xml:space="preserve">prior * (1 + growth)</t>
  </si>
  <si>
    <t xml:space="preserve">Gross Profit</t>
  </si>
  <si>
    <t xml:space="preserve">Revenue * (1 - COGS%)</t>
  </si>
  <si>
    <t xml:space="preserve">Opex</t>
  </si>
  <si>
    <t xml:space="preserve">Revenue * Opex%</t>
  </si>
  <si>
    <t xml:space="preserve">EBIT</t>
  </si>
  <si>
    <t xml:space="preserve">Gross Profit - Opex</t>
  </si>
  <si>
    <t xml:space="preserve">Taxes</t>
  </si>
  <si>
    <t xml:space="preserve">max(EBIT,0) * tax rate</t>
  </si>
  <si>
    <t xml:space="preserve">NOPAT</t>
  </si>
  <si>
    <t xml:space="preserve">EBIT - Taxes</t>
  </si>
  <si>
    <t xml:space="preserve">Delta NWC</t>
  </si>
  <si>
    <t xml:space="preserve">(Rev - PriorRev) * NWC%</t>
  </si>
  <si>
    <t xml:space="preserve">CapEx</t>
  </si>
  <si>
    <t xml:space="preserve">Revenue * CapEx%</t>
  </si>
  <si>
    <t xml:space="preserve">Free Cash Flow</t>
  </si>
  <si>
    <t xml:space="preserve">NOPAT - dNWC - CapEx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</si>
</sst>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42"/>
  </cols>
  <sheetData>
    <row r="1" customFormat="false" ht="17.35" hidden="false" customHeight="false" outlineLevel="0" collapsed="false">
      <c r="A1" s="1" t="s">
        <v>6</v>
      </c>
      <c r="B1" s="1"/>
      <c r="C1" s="1"/>
    </row>
    <row r="3" customFormat="false" ht="15" hidden="false" customHeight="false" outlineLevel="0" collapsed="false">
      <c r="A3" s="2" t="s">
        <v>7</v>
      </c>
      <c r="B3" s="2" t="s">
        <v>8</v>
      </c>
      <c r="C3" s="2" t="s">
        <v>9</v>
      </c>
    </row>
    <row r="4" customFormat="false" ht="15" hidden="false" customHeight="false" outlineLevel="0" collapsed="false">
      <c r="A4" s="0" t="s">
        <v>10</v>
      </c>
      <c r="B4" s="3" t="n">
        <v>18400</v>
      </c>
      <c r="C4" s="4" t="s">
        <v>11</v>
      </c>
    </row>
    <row r="5" customFormat="false" ht="15" hidden="false" customHeight="false" outlineLevel="0" collapsed="false">
      <c r="A5" s="0" t="s">
        <v>12</v>
      </c>
      <c r="B5" s="3" t="n">
        <v>0.022</v>
      </c>
      <c r="C5" s="4" t="s">
        <v>13</v>
      </c>
    </row>
    <row r="6" customFormat="false" ht="15" hidden="false" customHeight="false" outlineLevel="0" collapsed="false">
      <c r="A6" s="0" t="s">
        <v>14</v>
      </c>
      <c r="B6" s="3" t="n">
        <v>0.74</v>
      </c>
      <c r="C6" s="4" t="s">
        <v>15</v>
      </c>
    </row>
    <row r="7" customFormat="false" ht="15" hidden="false" customHeight="false" outlineLevel="0" collapsed="false">
      <c r="A7" s="0" t="s">
        <v>16</v>
      </c>
      <c r="B7" s="3" t="n">
        <v>0.228</v>
      </c>
      <c r="C7" s="4" t="s">
        <v>17</v>
      </c>
    </row>
    <row r="8" customFormat="false" ht="15" hidden="false" customHeight="false" outlineLevel="0" collapsed="false">
      <c r="A8" s="0" t="s">
        <v>18</v>
      </c>
      <c r="B8" s="3" t="n">
        <v>0.24</v>
      </c>
      <c r="C8" s="4" t="s">
        <v>19</v>
      </c>
    </row>
    <row r="9" customFormat="false" ht="15" hidden="false" customHeight="false" outlineLevel="0" collapsed="false">
      <c r="A9" s="0" t="s">
        <v>20</v>
      </c>
      <c r="B9" s="3" t="n">
        <v>-0.035</v>
      </c>
      <c r="C9" s="4" t="s">
        <v>21</v>
      </c>
    </row>
    <row r="10" customFormat="false" ht="15" hidden="false" customHeight="false" outlineLevel="0" collapsed="false">
      <c r="A10" s="0" t="s">
        <v>22</v>
      </c>
      <c r="B10" s="3" t="n">
        <v>0.02</v>
      </c>
      <c r="C10" s="4" t="s">
        <v>23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42"/>
  </cols>
  <sheetData>
    <row r="1" customFormat="false" ht="17.35" hidden="false" customHeight="false" outlineLevel="0" collapsed="false">
      <c r="A1" s="1" t="s">
        <v>24</v>
      </c>
      <c r="B1" s="1"/>
      <c r="C1" s="1"/>
    </row>
    <row r="3" customFormat="false" ht="15" hidden="false" customHeight="false" outlineLevel="0" collapsed="false">
      <c r="A3" s="2" t="s">
        <v>25</v>
      </c>
      <c r="B3" s="2" t="s">
        <v>26</v>
      </c>
      <c r="C3" s="2" t="s">
        <v>27</v>
      </c>
    </row>
    <row r="4" customFormat="false" ht="15" hidden="false" customHeight="false" outlineLevel="0" collapsed="false">
      <c r="A4" s="0" t="s">
        <v>28</v>
      </c>
      <c r="B4" s="0" t="n">
        <f aca="false">Drivers!$B$4</f>
        <v>18400</v>
      </c>
      <c r="C4" s="0" t="s">
        <v>29</v>
      </c>
    </row>
    <row r="5" customFormat="false" ht="15" hidden="false" customHeight="false" outlineLevel="0" collapsed="false">
      <c r="A5" s="0" t="s">
        <v>30</v>
      </c>
      <c r="B5" s="0" t="n">
        <f aca="false">B4*(1+Drivers!$B$5)</f>
        <v>18804.8</v>
      </c>
      <c r="C5" s="0" t="s">
        <v>31</v>
      </c>
    </row>
    <row r="6" customFormat="false" ht="15" hidden="false" customHeight="false" outlineLevel="0" collapsed="false">
      <c r="A6" s="0" t="s">
        <v>32</v>
      </c>
      <c r="B6" s="0" t="n">
        <f aca="false">B5*(1-Drivers!$B$6)</f>
        <v>4889.248</v>
      </c>
      <c r="C6" s="0" t="s">
        <v>33</v>
      </c>
    </row>
    <row r="7" customFormat="false" ht="15" hidden="false" customHeight="false" outlineLevel="0" collapsed="false">
      <c r="A7" s="0" t="s">
        <v>34</v>
      </c>
      <c r="B7" s="0" t="n">
        <f aca="false">B5*Drivers!$B$7</f>
        <v>4287.4944</v>
      </c>
      <c r="C7" s="0" t="s">
        <v>35</v>
      </c>
    </row>
    <row r="8" customFormat="false" ht="15" hidden="false" customHeight="false" outlineLevel="0" collapsed="false">
      <c r="A8" s="0" t="s">
        <v>36</v>
      </c>
      <c r="B8" s="0" t="n">
        <f aca="false">B6-B7</f>
        <v>601.7536</v>
      </c>
      <c r="C8" s="0" t="s">
        <v>37</v>
      </c>
    </row>
    <row r="9" customFormat="false" ht="15" hidden="false" customHeight="false" outlineLevel="0" collapsed="false">
      <c r="A9" s="0" t="s">
        <v>38</v>
      </c>
      <c r="B9" s="0" t="n">
        <f aca="false">MAX(B8,0)*Drivers!$B$8</f>
        <v>144.420864</v>
      </c>
      <c r="C9" s="0" t="s">
        <v>39</v>
      </c>
    </row>
    <row r="10" customFormat="false" ht="15" hidden="false" customHeight="false" outlineLevel="0" collapsed="false">
      <c r="A10" s="0" t="s">
        <v>40</v>
      </c>
      <c r="B10" s="0" t="n">
        <f aca="false">B8-B9</f>
        <v>457.332736</v>
      </c>
      <c r="C10" s="0" t="s">
        <v>41</v>
      </c>
    </row>
    <row r="11" customFormat="false" ht="15" hidden="false" customHeight="false" outlineLevel="0" collapsed="false">
      <c r="A11" s="0" t="s">
        <v>42</v>
      </c>
      <c r="B11" s="0" t="n">
        <f aca="false">B5*Drivers!$B$9-B4*Drivers!$B$9</f>
        <v>-14.1679999999999</v>
      </c>
      <c r="C11" s="0" t="s">
        <v>43</v>
      </c>
    </row>
    <row r="12" customFormat="false" ht="15" hidden="false" customHeight="false" outlineLevel="0" collapsed="false">
      <c r="A12" s="0" t="s">
        <v>44</v>
      </c>
      <c r="B12" s="0" t="n">
        <f aca="false">B5*Drivers!$B$10</f>
        <v>376.096</v>
      </c>
      <c r="C12" s="0" t="s">
        <v>45</v>
      </c>
    </row>
    <row r="13" customFormat="false" ht="15" hidden="false" customHeight="false" outlineLevel="0" collapsed="false">
      <c r="A13" s="5" t="s">
        <v>46</v>
      </c>
      <c r="B13" s="5" t="n">
        <f aca="false">B10-B11-B12</f>
        <v>95.4047359999999</v>
      </c>
      <c r="C13" s="4" t="s">
        <v>47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2026-08-28T15:31:29Z</dcterms:created>
  <dc:creator>openpyxl</dc:creator>
  <dc:description/>
  <dc:language>en-US</dc:language>
  <cp:lastModifiedBy/>
  <dcterms:modified xsi:type="dcterms:W3CDTF">2026-08-28T15:31:29Z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