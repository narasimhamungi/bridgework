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" sheetId="1" state="visible" r:id="rId3"/>
    <sheet name="Drivers" sheetId="2" state="visible" r:id="rId4"/>
    <sheet name="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<sst xmlns="http://schemas.openxmlformats.org/spreadsheetml/2006/main" count="62" uniqueCount="54">
  <si>
    <t xml:space="preserve">schema_version</t>
  </si>
  <si>
    <t xml:space="preserve">1.0.0</t>
  </si>
  <si>
    <t xml:space="preserve">title</t>
  </si>
  <si>
    <t xml:space="preserve">V1 (Baseline)</t>
  </si>
  <si>
    <t xml:space="preserve">model</t>
  </si>
  <si>
    <t xml:space="preserve">dcf</t>
  </si>
  <si>
    <t xml:space="preserve">Bridgework — V1 (Baseline) Drivers</t>
  </si>
  <si>
    <t xml:space="preserve">Driver</t>
  </si>
  <si>
    <t xml:space="preserve">Value</t>
  </si>
  <si>
    <t xml:space="preserve">Label</t>
  </si>
  <si>
    <t xml:space="preserve">fcf_base</t>
  </si>
  <si>
    <t xml:space="preserve">Base-year free cash flow ($M)</t>
  </si>
  <si>
    <t xml:space="preserve">growth_explicit</t>
  </si>
  <si>
    <t xml:space="preserve">FCF growth, explicit period (%)</t>
  </si>
  <si>
    <t xml:space="preserve">wacc</t>
  </si>
  <si>
    <t xml:space="preserve">Weighted average cost of capital (%)</t>
  </si>
  <si>
    <t xml:space="preserve">terminal_growth</t>
  </si>
  <si>
    <t xml:space="preserve">Terminal growth rate (%)</t>
  </si>
  <si>
    <t xml:space="preserve">net_debt</t>
  </si>
  <si>
    <t xml:space="preserve">Net debt ($M)</t>
  </si>
  <si>
    <t xml:space="preserve">shares_outstanding</t>
  </si>
  <si>
    <t xml:space="preserve">Shares outstanding (M)</t>
  </si>
  <si>
    <t xml:space="preserve">Bridgework — V1 (Baseline) FCF Calculation</t>
  </si>
  <si>
    <t xml:space="preserve">Line item</t>
  </si>
  <si>
    <t xml:space="preserve">Value ($M)</t>
  </si>
  <si>
    <t xml:space="preserve">Formula note</t>
  </si>
  <si>
    <t xml:space="preserve">FCF year 1</t>
  </si>
  <si>
    <t xml:space="preserve">base * (1+g)</t>
  </si>
  <si>
    <t xml:space="preserve">FCF year 2</t>
  </si>
  <si>
    <t xml:space="preserve">prior year * (1+g)</t>
  </si>
  <si>
    <t xml:space="preserve">FCF year 3</t>
  </si>
  <si>
    <t xml:space="preserve">FCF year 4</t>
  </si>
  <si>
    <t xml:space="preserve">FCF year 5</t>
  </si>
  <si>
    <t xml:space="preserve">PV of year 1</t>
  </si>
  <si>
    <t xml:space="preserve">discounted at WACC</t>
  </si>
  <si>
    <t xml:space="preserve">PV of year 2</t>
  </si>
  <si>
    <t xml:space="preserve">PV of year 3</t>
  </si>
  <si>
    <t xml:space="preserve">PV of year 4</t>
  </si>
  <si>
    <t xml:space="preserve">PV of year 5</t>
  </si>
  <si>
    <t xml:space="preserve">PV of explicit period</t>
  </si>
  <si>
    <t xml:space="preserve">sum of discounted FCFs</t>
  </si>
  <si>
    <t xml:space="preserve">Terminal value</t>
  </si>
  <si>
    <t xml:space="preserve">Gordon Growth on year-5 FCF</t>
  </si>
  <si>
    <t xml:space="preserve">PV of terminal value</t>
  </si>
  <si>
    <t xml:space="preserve">TV discounted 5 years</t>
  </si>
  <si>
    <t xml:space="preserve">Enterprise value</t>
  </si>
  <si>
    <t xml:space="preserve">PV explicit + PV terminal</t>
  </si>
  <si>
    <t xml:space="preserve">Net debt</t>
  </si>
  <si>
    <t xml:space="preserve">input</t>
  </si>
  <si>
    <t xml:space="preserve">Equity value</t>
  </si>
  <si>
    <t xml:space="preserve">EV - net debt</t>
  </si>
  <si>
    <t xml:space="preserve">Shares outstanding</t>
  </si>
  <si>
    <t xml:space="preserve">Implied share price</t>
  </si>
  <si>
    <t xml:space="preserve">equity value / shares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</si>
</sst>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6</v>
      </c>
      <c r="B1" s="1"/>
      <c r="C1" s="1"/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</row>
    <row r="4" customFormat="false" ht="15" hidden="false" customHeight="false" outlineLevel="0" collapsed="false">
      <c r="A4" s="0" t="s">
        <v>10</v>
      </c>
      <c r="B4" s="3" t="n">
        <v>1000</v>
      </c>
      <c r="C4" s="4" t="s">
        <v>11</v>
      </c>
    </row>
    <row r="5" customFormat="false" ht="15" hidden="false" customHeight="false" outlineLevel="0" collapsed="false">
      <c r="A5" s="0" t="s">
        <v>12</v>
      </c>
      <c r="B5" s="3" t="n">
        <v>0.08</v>
      </c>
      <c r="C5" s="4" t="s">
        <v>13</v>
      </c>
    </row>
    <row r="6" customFormat="false" ht="15" hidden="false" customHeight="false" outlineLevel="0" collapsed="false">
      <c r="A6" s="0" t="s">
        <v>14</v>
      </c>
      <c r="B6" s="3" t="n">
        <v>0.075</v>
      </c>
      <c r="C6" s="4" t="s">
        <v>15</v>
      </c>
    </row>
    <row r="7" customFormat="false" ht="15" hidden="false" customHeight="false" outlineLevel="0" collapsed="false">
      <c r="A7" s="0" t="s">
        <v>16</v>
      </c>
      <c r="B7" s="3" t="n">
        <v>0.035</v>
      </c>
      <c r="C7" s="4" t="s">
        <v>17</v>
      </c>
    </row>
    <row r="8" customFormat="false" ht="15" hidden="false" customHeight="false" outlineLevel="0" collapsed="false">
      <c r="A8" s="0" t="s">
        <v>18</v>
      </c>
      <c r="B8" s="3" t="n">
        <v>4000</v>
      </c>
      <c r="C8" s="4" t="s">
        <v>19</v>
      </c>
    </row>
    <row r="9" customFormat="false" ht="15" hidden="false" customHeight="false" outlineLevel="0" collapsed="false">
      <c r="A9" s="0" t="s">
        <v>20</v>
      </c>
      <c r="B9" s="3" t="n">
        <v>250</v>
      </c>
      <c r="C9" s="4" t="s">
        <v>21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22</v>
      </c>
      <c r="B1" s="1"/>
      <c r="C1" s="1"/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</row>
    <row r="4" customFormat="false" ht="15" hidden="false" customHeight="false" outlineLevel="0" collapsed="false">
      <c r="A4" s="0" t="s">
        <v>26</v>
      </c>
      <c r="B4" s="0" t="n">
        <f aca="false">Drivers!$B$4*(1+Drivers!$B$5)</f>
        <v>1080</v>
      </c>
      <c r="C4" s="0" t="s">
        <v>27</v>
      </c>
    </row>
    <row r="5" customFormat="false" ht="15" hidden="false" customHeight="false" outlineLevel="0" collapsed="false">
      <c r="A5" s="0" t="s">
        <v>28</v>
      </c>
      <c r="B5" s="0" t="n">
        <f aca="false">B4*(1+Drivers!$B$5)</f>
        <v>1166.4</v>
      </c>
      <c r="C5" s="0" t="s">
        <v>29</v>
      </c>
    </row>
    <row r="6" customFormat="false" ht="15" hidden="false" customHeight="false" outlineLevel="0" collapsed="false">
      <c r="A6" s="0" t="s">
        <v>30</v>
      </c>
      <c r="B6" s="0" t="n">
        <f aca="false">B5*(1+Drivers!$B$5)</f>
        <v>1259.712</v>
      </c>
      <c r="C6" s="0" t="s">
        <v>29</v>
      </c>
    </row>
    <row r="7" customFormat="false" ht="15" hidden="false" customHeight="false" outlineLevel="0" collapsed="false">
      <c r="A7" s="0" t="s">
        <v>31</v>
      </c>
      <c r="B7" s="0" t="n">
        <f aca="false">B6*(1+Drivers!$B$5)</f>
        <v>1360.48896</v>
      </c>
      <c r="C7" s="0" t="s">
        <v>29</v>
      </c>
    </row>
    <row r="8" customFormat="false" ht="15" hidden="false" customHeight="false" outlineLevel="0" collapsed="false">
      <c r="A8" s="0" t="s">
        <v>32</v>
      </c>
      <c r="B8" s="0" t="n">
        <f aca="false">B7*(1+Drivers!$B$5)</f>
        <v>1469.3280768</v>
      </c>
      <c r="C8" s="0" t="s">
        <v>29</v>
      </c>
    </row>
    <row r="9" customFormat="false" ht="15" hidden="false" customHeight="false" outlineLevel="0" collapsed="false">
      <c r="A9" s="0" t="s">
        <v>33</v>
      </c>
      <c r="B9" s="0" t="n">
        <f aca="false">B4/(1+Drivers!$B$6)^1</f>
        <v>1004.6511627907</v>
      </c>
      <c r="C9" s="0" t="s">
        <v>34</v>
      </c>
    </row>
    <row r="10" customFormat="false" ht="15" hidden="false" customHeight="false" outlineLevel="0" collapsed="false">
      <c r="A10" s="0" t="s">
        <v>35</v>
      </c>
      <c r="B10" s="0" t="n">
        <f aca="false">B5/(1+Drivers!$B$6)^2</f>
        <v>1009.3239588967</v>
      </c>
      <c r="C10" s="0" t="s">
        <v>34</v>
      </c>
    </row>
    <row r="11" customFormat="false" ht="15" hidden="false" customHeight="false" outlineLevel="0" collapsed="false">
      <c r="A11" s="0" t="s">
        <v>36</v>
      </c>
      <c r="B11" s="0" t="n">
        <f aca="false">B6/(1+Drivers!$B$6)^3</f>
        <v>1014.01848893808</v>
      </c>
      <c r="C11" s="0" t="s">
        <v>34</v>
      </c>
    </row>
    <row r="12" customFormat="false" ht="15" hidden="false" customHeight="false" outlineLevel="0" collapsed="false">
      <c r="A12" s="0" t="s">
        <v>37</v>
      </c>
      <c r="B12" s="0" t="n">
        <f aca="false">B7/(1+Drivers!$B$6)^4</f>
        <v>1018.73485400291</v>
      </c>
      <c r="C12" s="0" t="s">
        <v>34</v>
      </c>
    </row>
    <row r="13" customFormat="false" ht="15" hidden="false" customHeight="false" outlineLevel="0" collapsed="false">
      <c r="A13" s="0" t="s">
        <v>38</v>
      </c>
      <c r="B13" s="0" t="n">
        <f aca="false">B8/(1+Drivers!$B$6)^5</f>
        <v>1023.47315564944</v>
      </c>
      <c r="C13" s="0" t="s">
        <v>34</v>
      </c>
    </row>
    <row r="14" customFormat="false" ht="15" hidden="false" customHeight="false" outlineLevel="0" collapsed="false">
      <c r="A14" s="0" t="s">
        <v>39</v>
      </c>
      <c r="B14" s="0" t="n">
        <f aca="false">SUM(B9:B13)</f>
        <v>5070.20162027783</v>
      </c>
      <c r="C14" s="0" t="s">
        <v>40</v>
      </c>
    </row>
    <row r="15" customFormat="false" ht="15" hidden="false" customHeight="false" outlineLevel="0" collapsed="false">
      <c r="A15" s="0" t="s">
        <v>41</v>
      </c>
      <c r="B15" s="0" t="n">
        <f aca="false">B8*(1+Drivers!$B$7)/(Drivers!$B$6-Drivers!$B$7)</f>
        <v>38018.8639872</v>
      </c>
      <c r="C15" s="0" t="s">
        <v>42</v>
      </c>
    </row>
    <row r="16" customFormat="false" ht="15" hidden="false" customHeight="false" outlineLevel="0" collapsed="false">
      <c r="A16" s="0" t="s">
        <v>43</v>
      </c>
      <c r="B16" s="0" t="n">
        <f aca="false">B15/(1+Drivers!$B$6)^5</f>
        <v>26482.3679024291</v>
      </c>
      <c r="C16" s="0" t="s">
        <v>44</v>
      </c>
    </row>
    <row r="17" customFormat="false" ht="15" hidden="false" customHeight="false" outlineLevel="0" collapsed="false">
      <c r="A17" s="0" t="s">
        <v>45</v>
      </c>
      <c r="B17" s="0" t="n">
        <f aca="false">B14+B16</f>
        <v>31552.569522707</v>
      </c>
      <c r="C17" s="0" t="s">
        <v>46</v>
      </c>
    </row>
    <row r="18" customFormat="false" ht="15" hidden="false" customHeight="false" outlineLevel="0" collapsed="false">
      <c r="A18" s="0" t="s">
        <v>47</v>
      </c>
      <c r="B18" s="0" t="n">
        <f aca="false">Drivers!$B$8</f>
        <v>4000</v>
      </c>
      <c r="C18" s="0" t="s">
        <v>48</v>
      </c>
    </row>
    <row r="19" customFormat="false" ht="15" hidden="false" customHeight="false" outlineLevel="0" collapsed="false">
      <c r="A19" s="0" t="s">
        <v>49</v>
      </c>
      <c r="B19" s="0" t="n">
        <f aca="false">B17-B18</f>
        <v>27552.569522707</v>
      </c>
      <c r="C19" s="0" t="s">
        <v>50</v>
      </c>
    </row>
    <row r="20" customFormat="false" ht="15" hidden="false" customHeight="false" outlineLevel="0" collapsed="false">
      <c r="A20" s="0" t="s">
        <v>51</v>
      </c>
      <c r="B20" s="0" t="n">
        <f aca="false">Drivers!$B$9</f>
        <v>250</v>
      </c>
      <c r="C20" s="0" t="s">
        <v>48</v>
      </c>
    </row>
    <row r="21" customFormat="false" ht="15" hidden="false" customHeight="false" outlineLevel="0" collapsed="false">
      <c r="A21" s="5" t="s">
        <v>52</v>
      </c>
      <c r="B21" s="5" t="n">
        <f aca="false">B19/B20</f>
        <v>110.210278090828</v>
      </c>
      <c r="C21" s="4" t="s">
        <v>53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2026-08-28T15:31:31Z</dcterms:created>
  <dc:creator>openpyxl</dc:creator>
  <dc:description/>
  <dc:language>en-US</dc:language>
  <cp:lastModifiedBy/>
  <dcterms:modified xsi:type="dcterms:W3CDTF">2026-08-28T15:31:31Z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