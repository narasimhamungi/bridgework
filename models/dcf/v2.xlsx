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Cal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1.0.0</t>
        </is>
      </c>
    </row>
    <row r="2">
      <c r="A2" t="inlineStr">
        <is>
          <t>title</t>
        </is>
      </c>
      <c r="B2" t="inlineStr">
        <is>
          <t>V2 (Revised)</t>
        </is>
      </c>
    </row>
    <row r="3">
      <c r="A3" t="inlineStr">
        <is>
          <t>model</t>
        </is>
      </c>
      <c r="B3" t="inlineStr">
        <is>
          <t>dcf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Drivers</t>
        </is>
      </c>
    </row>
    <row r="3">
      <c r="A3" s="2" t="inlineStr">
        <is>
          <t>Driver</t>
        </is>
      </c>
      <c r="B3" s="2" t="inlineStr">
        <is>
          <t>Value</t>
        </is>
      </c>
      <c r="C3" s="2" t="inlineStr">
        <is>
          <t>Label</t>
        </is>
      </c>
    </row>
    <row r="4">
      <c r="A4" t="inlineStr">
        <is>
          <t>fcf_base</t>
        </is>
      </c>
      <c r="B4" s="3" t="n">
        <v>1000</v>
      </c>
      <c r="C4" t="inlineStr">
        <is>
          <t>Base-year free cash flow ($M)</t>
        </is>
      </c>
    </row>
    <row r="5">
      <c r="A5" t="inlineStr">
        <is>
          <t>growth_explicit</t>
        </is>
      </c>
      <c r="B5" s="3" t="n">
        <v>0.055</v>
      </c>
      <c r="C5" t="inlineStr">
        <is>
          <t>FCF growth, explicit period (%)</t>
        </is>
      </c>
    </row>
    <row r="6">
      <c r="A6" t="inlineStr">
        <is>
          <t>wacc</t>
        </is>
      </c>
      <c r="B6" s="3" t="n">
        <v>0.08500000000000001</v>
      </c>
      <c r="C6" t="inlineStr">
        <is>
          <t>Weighted average cost of capital (%)</t>
        </is>
      </c>
    </row>
    <row r="7">
      <c r="A7" t="inlineStr">
        <is>
          <t>terminal_growth</t>
        </is>
      </c>
      <c r="B7" s="3" t="n">
        <v>0.028</v>
      </c>
      <c r="C7" t="inlineStr">
        <is>
          <t>Terminal growth rate (%)</t>
        </is>
      </c>
    </row>
    <row r="8">
      <c r="A8" t="inlineStr">
        <is>
          <t>net_debt</t>
        </is>
      </c>
      <c r="B8" s="3" t="n">
        <v>4000</v>
      </c>
      <c r="C8" t="inlineStr">
        <is>
          <t>Net debt ($M)</t>
        </is>
      </c>
    </row>
    <row r="9">
      <c r="A9" t="inlineStr">
        <is>
          <t>shares_outstanding</t>
        </is>
      </c>
      <c r="B9" s="3" t="n">
        <v>250</v>
      </c>
      <c r="C9" t="inlineStr">
        <is>
          <t>Shares outstanding (M)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</cols>
  <sheetData>
    <row r="1">
      <c r="A1" s="1" t="inlineStr">
        <is>
          <t>Bridgework — V2 (Revised) FCF Calculation</t>
        </is>
      </c>
    </row>
    <row r="3">
      <c r="A3" s="2" t="inlineStr">
        <is>
          <t>Line item</t>
        </is>
      </c>
      <c r="B3" s="2" t="inlineStr">
        <is>
          <t>Value ($M)</t>
        </is>
      </c>
      <c r="C3" s="2" t="inlineStr">
        <is>
          <t>Formula note</t>
        </is>
      </c>
    </row>
    <row r="4">
      <c r="A4" t="inlineStr">
        <is>
          <t>FCF year 1</t>
        </is>
      </c>
      <c r="B4">
        <f>Drivers!$B$4*(1+Drivers!$B$5)</f>
        <v/>
      </c>
      <c r="C4" t="inlineStr">
        <is>
          <t>base * (1+g)</t>
        </is>
      </c>
    </row>
    <row r="5">
      <c r="A5" t="inlineStr">
        <is>
          <t>FCF year 2</t>
        </is>
      </c>
      <c r="B5">
        <f>B4*(1+Drivers!$B$5)</f>
        <v/>
      </c>
      <c r="C5" t="inlineStr">
        <is>
          <t>prior year * (1+g)</t>
        </is>
      </c>
    </row>
    <row r="6">
      <c r="A6" t="inlineStr">
        <is>
          <t>FCF year 3</t>
        </is>
      </c>
      <c r="B6">
        <f>B5*(1+Drivers!$B$5)</f>
        <v/>
      </c>
      <c r="C6" t="inlineStr">
        <is>
          <t>prior year * (1+g)</t>
        </is>
      </c>
    </row>
    <row r="7">
      <c r="A7" t="inlineStr">
        <is>
          <t>FCF year 4</t>
        </is>
      </c>
      <c r="B7">
        <f>B6*(1+Drivers!$B$5)</f>
        <v/>
      </c>
      <c r="C7" t="inlineStr">
        <is>
          <t>prior year * (1+g)</t>
        </is>
      </c>
    </row>
    <row r="8">
      <c r="A8" t="inlineStr">
        <is>
          <t>FCF year 5</t>
        </is>
      </c>
      <c r="B8">
        <f>B7*(1+Drivers!$B$5)</f>
        <v/>
      </c>
      <c r="C8" t="inlineStr">
        <is>
          <t>prior year * (1+g)</t>
        </is>
      </c>
    </row>
    <row r="9">
      <c r="A9" t="inlineStr">
        <is>
          <t>PV of year 1</t>
        </is>
      </c>
      <c r="B9">
        <f>B4/(1+Drivers!$B$6)^1</f>
        <v/>
      </c>
      <c r="C9" t="inlineStr">
        <is>
          <t>discounted at WACC</t>
        </is>
      </c>
    </row>
    <row r="10">
      <c r="A10" t="inlineStr">
        <is>
          <t>PV of year 2</t>
        </is>
      </c>
      <c r="B10">
        <f>B5/(1+Drivers!$B$6)^2</f>
        <v/>
      </c>
      <c r="C10" t="inlineStr">
        <is>
          <t>discounted at WACC</t>
        </is>
      </c>
    </row>
    <row r="11">
      <c r="A11" t="inlineStr">
        <is>
          <t>PV of year 3</t>
        </is>
      </c>
      <c r="B11">
        <f>B6/(1+Drivers!$B$6)^3</f>
        <v/>
      </c>
      <c r="C11" t="inlineStr">
        <is>
          <t>discounted at WACC</t>
        </is>
      </c>
    </row>
    <row r="12">
      <c r="A12" t="inlineStr">
        <is>
          <t>PV of year 4</t>
        </is>
      </c>
      <c r="B12">
        <f>B7/(1+Drivers!$B$6)^4</f>
        <v/>
      </c>
      <c r="C12" t="inlineStr">
        <is>
          <t>discounted at WACC</t>
        </is>
      </c>
    </row>
    <row r="13">
      <c r="A13" t="inlineStr">
        <is>
          <t>PV of year 5</t>
        </is>
      </c>
      <c r="B13">
        <f>B8/(1+Drivers!$B$6)^5</f>
        <v/>
      </c>
      <c r="C13" t="inlineStr">
        <is>
          <t>discounted at WACC</t>
        </is>
      </c>
    </row>
    <row r="14">
      <c r="A14" t="inlineStr">
        <is>
          <t>PV of explicit period</t>
        </is>
      </c>
      <c r="B14">
        <f>SUM(B9:B13)</f>
        <v/>
      </c>
      <c r="C14" t="inlineStr">
        <is>
          <t>sum of discounted FCFs</t>
        </is>
      </c>
    </row>
    <row r="15">
      <c r="A15" t="inlineStr">
        <is>
          <t>Terminal value</t>
        </is>
      </c>
      <c r="B15">
        <f>B8*(1+Drivers!$B$7)/(Drivers!$B$6-Drivers!$B$7)</f>
        <v/>
      </c>
      <c r="C15" t="inlineStr">
        <is>
          <t>Gordon Growth on year-5 FCF</t>
        </is>
      </c>
    </row>
    <row r="16">
      <c r="A16" t="inlineStr">
        <is>
          <t>PV of terminal value</t>
        </is>
      </c>
      <c r="B16">
        <f>B15/(1+Drivers!$B$6)^5</f>
        <v/>
      </c>
      <c r="C16" t="inlineStr">
        <is>
          <t>TV discounted 5 years</t>
        </is>
      </c>
    </row>
    <row r="17">
      <c r="A17" t="inlineStr">
        <is>
          <t>Enterprise value</t>
        </is>
      </c>
      <c r="B17">
        <f>B14+B16</f>
        <v/>
      </c>
      <c r="C17" t="inlineStr">
        <is>
          <t>PV explicit + PV terminal</t>
        </is>
      </c>
    </row>
    <row r="18">
      <c r="A18" t="inlineStr">
        <is>
          <t>Net debt</t>
        </is>
      </c>
      <c r="B18">
        <f>Drivers!$B$8</f>
        <v/>
      </c>
      <c r="C18" t="inlineStr">
        <is>
          <t>input</t>
        </is>
      </c>
    </row>
    <row r="19">
      <c r="A19" t="inlineStr">
        <is>
          <t>Equity value</t>
        </is>
      </c>
      <c r="B19">
        <f>B17-B18</f>
        <v/>
      </c>
      <c r="C19" t="inlineStr">
        <is>
          <t>EV - net debt</t>
        </is>
      </c>
    </row>
    <row r="20">
      <c r="A20" t="inlineStr">
        <is>
          <t>Shares outstanding</t>
        </is>
      </c>
      <c r="B20">
        <f>Drivers!$B$9</f>
        <v/>
      </c>
      <c r="C20" t="inlineStr">
        <is>
          <t>input</t>
        </is>
      </c>
    </row>
    <row r="21">
      <c r="A21" s="4" t="inlineStr">
        <is>
          <t>Implied share price</t>
        </is>
      </c>
      <c r="B21" s="4">
        <f>B19/B20</f>
        <v/>
      </c>
      <c r="C21" t="inlineStr">
        <is>
          <t>equity value / shares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2026-08-28T15:31:31Z</dcterms:created>
  <dcterms:modified xmlns:dcterms="http://purl.org/dc/terms/" xmlns:xsi="http://www.w3.org/2001/XMLSchema-instance" xsi:type="dcterms:W3CDTF">2026-08-28T15:31:31Z</dcterms:modified>
</cp:coreProperties>
</file>